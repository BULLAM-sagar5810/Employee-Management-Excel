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 Excel projects\"/>
    </mc:Choice>
  </mc:AlternateContent>
  <xr:revisionPtr revIDLastSave="0" documentId="8_{DB3B5621-77EF-4E05-B9F7-239A9FB82D34}" xr6:coauthVersionLast="47" xr6:coauthVersionMax="47" xr10:uidLastSave="{00000000-0000-0000-0000-000000000000}"/>
  <bookViews>
    <workbookView xWindow="-120" yWindow="-120" windowWidth="20640" windowHeight="11040" activeTab="1" xr2:uid="{96607FBA-8E5D-426A-A911-C2B695023C31}"/>
  </bookViews>
  <sheets>
    <sheet name="Employee Details" sheetId="3" r:id="rId1"/>
    <sheet name="Employee Attence" sheetId="2" r:id="rId2"/>
    <sheet name="Employee Salary Detail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2" l="1"/>
  <c r="K6" i="2" s="1" a="1"/>
  <c r="K6" i="2" s="1"/>
  <c r="L6" i="2" s="1"/>
  <c r="M6" i="2" s="1"/>
  <c r="J7" i="2"/>
  <c r="K7" i="2" s="1" a="1"/>
  <c r="K7" i="2" s="1"/>
  <c r="L7" i="2" s="1"/>
  <c r="M7" i="2" s="1"/>
  <c r="J8" i="2"/>
  <c r="K8" i="2" a="1"/>
  <c r="K8" i="2" s="1"/>
  <c r="L8" i="2" s="1"/>
  <c r="M8" i="2" s="1"/>
  <c r="J9" i="2"/>
  <c r="K9" i="2" s="1" a="1"/>
  <c r="K9" i="2" s="1"/>
  <c r="L9" i="2" s="1"/>
  <c r="M9" i="2" s="1"/>
  <c r="J10" i="2"/>
  <c r="K10" i="2" s="1" a="1"/>
  <c r="K10" i="2" s="1"/>
  <c r="L10" i="2" s="1"/>
  <c r="M10" i="2" s="1"/>
  <c r="J11" i="2"/>
  <c r="K11" i="2" s="1" a="1"/>
  <c r="K11" i="2" s="1"/>
  <c r="L11" i="2" s="1"/>
  <c r="M11" i="2" s="1"/>
  <c r="J12" i="2"/>
  <c r="K12" i="2" s="1" a="1"/>
  <c r="K12" i="2" s="1"/>
  <c r="L12" i="2" s="1"/>
  <c r="M12" i="2" s="1"/>
  <c r="J13" i="2"/>
  <c r="K13" i="2" s="1" a="1"/>
  <c r="K13" i="2" s="1"/>
  <c r="L13" i="2" s="1"/>
  <c r="M13" i="2" s="1"/>
  <c r="J14" i="2"/>
  <c r="K14" i="2" s="1" a="1"/>
  <c r="K14" i="2" s="1"/>
  <c r="L14" i="2" s="1"/>
  <c r="M14" i="2" s="1"/>
  <c r="J15" i="2"/>
  <c r="K15" i="2" s="1" a="1"/>
  <c r="K15" i="2" s="1"/>
  <c r="L15" i="2" s="1"/>
  <c r="M15" i="2" s="1"/>
  <c r="J16" i="2"/>
  <c r="K16" i="2" s="1" a="1"/>
  <c r="K16" i="2" s="1"/>
  <c r="L16" i="2" s="1"/>
  <c r="M16" i="2" s="1"/>
  <c r="J17" i="2"/>
  <c r="K17" i="2" s="1" a="1"/>
  <c r="K17" i="2" s="1"/>
  <c r="L17" i="2" s="1"/>
  <c r="M17" i="2" s="1"/>
  <c r="J18" i="2"/>
  <c r="K18" i="2" s="1" a="1"/>
  <c r="K18" i="2" s="1"/>
  <c r="L18" i="2" s="1"/>
  <c r="M18" i="2" s="1"/>
  <c r="J19" i="2"/>
  <c r="K19" i="2" s="1" a="1"/>
  <c r="K19" i="2" s="1"/>
  <c r="L19" i="2" s="1"/>
  <c r="M19" i="2" s="1"/>
  <c r="J20" i="2"/>
  <c r="K20" i="2" s="1" a="1"/>
  <c r="K20" i="2" s="1"/>
  <c r="L20" i="2" s="1"/>
  <c r="M20" i="2" s="1"/>
  <c r="J21" i="2"/>
  <c r="K21" i="2" s="1" a="1"/>
  <c r="K21" i="2" s="1"/>
  <c r="L21" i="2" s="1"/>
  <c r="M21" i="2" s="1"/>
  <c r="J22" i="2"/>
  <c r="K22" i="2" s="1" a="1"/>
  <c r="K22" i="2" s="1"/>
  <c r="L22" i="2" s="1"/>
  <c r="M22" i="2" s="1"/>
  <c r="J23" i="2"/>
  <c r="K23" i="2" s="1" a="1"/>
  <c r="K23" i="2" s="1"/>
  <c r="L23" i="2" s="1"/>
  <c r="M23" i="2" s="1"/>
  <c r="J24" i="2"/>
  <c r="K24" i="2" s="1" a="1"/>
  <c r="K24" i="2" s="1"/>
  <c r="L24" i="2" s="1"/>
  <c r="M24" i="2" s="1"/>
  <c r="J25" i="2"/>
  <c r="K25" i="2" s="1" a="1"/>
  <c r="K25" i="2" s="1"/>
  <c r="L25" i="2" s="1"/>
  <c r="M25" i="2" s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6" i="1"/>
  <c r="K7" i="1"/>
  <c r="K8" i="1"/>
  <c r="K9" i="1"/>
  <c r="M9" i="1" s="1"/>
  <c r="K10" i="1"/>
  <c r="M10" i="1" s="1"/>
  <c r="K11" i="1"/>
  <c r="M11" i="1" s="1"/>
  <c r="K12" i="1"/>
  <c r="M12" i="1" s="1"/>
  <c r="K13" i="1"/>
  <c r="M13" i="1" s="1"/>
  <c r="K14" i="1"/>
  <c r="M14" i="1" s="1"/>
  <c r="K15" i="1"/>
  <c r="M15" i="1" s="1"/>
  <c r="K16" i="1"/>
  <c r="M16" i="1" s="1"/>
  <c r="K17" i="1"/>
  <c r="M17" i="1" s="1"/>
  <c r="K18" i="1"/>
  <c r="M18" i="1" s="1"/>
  <c r="K19" i="1"/>
  <c r="M19" i="1" s="1"/>
  <c r="K20" i="1"/>
  <c r="M20" i="1" s="1"/>
  <c r="K21" i="1"/>
  <c r="M21" i="1" s="1"/>
  <c r="K22" i="1"/>
  <c r="M22" i="1" s="1"/>
  <c r="K23" i="1"/>
  <c r="M23" i="1" s="1"/>
  <c r="K24" i="1"/>
  <c r="M24" i="1" s="1"/>
  <c r="K25" i="1"/>
  <c r="M25" i="1" s="1"/>
  <c r="K6" i="1"/>
  <c r="M6" i="1" s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6" i="1"/>
  <c r="M7" i="1" l="1"/>
  <c r="M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<sst xmlns="http://schemas.openxmlformats.org/spreadsheetml/2006/main" count="347" uniqueCount="108">
  <si>
    <t>Employee ID</t>
  </si>
  <si>
    <t>Name of the employee</t>
  </si>
  <si>
    <t xml:space="preserve">Location </t>
  </si>
  <si>
    <t>Provided Fund</t>
  </si>
  <si>
    <t>Designation</t>
  </si>
  <si>
    <t>Department</t>
  </si>
  <si>
    <t>Joining Date</t>
  </si>
  <si>
    <t xml:space="preserve"> Basic Salary</t>
  </si>
  <si>
    <t>HBA</t>
  </si>
  <si>
    <t>DA</t>
  </si>
  <si>
    <t>Allowance</t>
  </si>
  <si>
    <t>Tax Dedication</t>
  </si>
  <si>
    <t>Net salary</t>
  </si>
  <si>
    <t>26TCSEMP01</t>
  </si>
  <si>
    <t>26TCSEMP02</t>
  </si>
  <si>
    <t>26TCSEMP03</t>
  </si>
  <si>
    <t>26TCSEMP04</t>
  </si>
  <si>
    <t>26TCSEMP05</t>
  </si>
  <si>
    <t>26TCSEMP06</t>
  </si>
  <si>
    <t>26TCSEMP07</t>
  </si>
  <si>
    <t>26TCSEMP08</t>
  </si>
  <si>
    <t>26TCSEMP09</t>
  </si>
  <si>
    <t>26TCSEMP10</t>
  </si>
  <si>
    <t>26TCSEMP11</t>
  </si>
  <si>
    <t>26TCSEMP12</t>
  </si>
  <si>
    <t>26TCSEMP13</t>
  </si>
  <si>
    <t>26TCSEMP14</t>
  </si>
  <si>
    <t>26TCSEMP15</t>
  </si>
  <si>
    <t>26TCSEMP16</t>
  </si>
  <si>
    <t>26TCSEMP17</t>
  </si>
  <si>
    <t>26TCSEMP18</t>
  </si>
  <si>
    <t>26TCSEMP19</t>
  </si>
  <si>
    <t>26TCSEMP20</t>
  </si>
  <si>
    <t>Aarav Sharma</t>
  </si>
  <si>
    <t>IT</t>
  </si>
  <si>
    <t>Software Engineer</t>
  </si>
  <si>
    <t>Bengaluru</t>
  </si>
  <si>
    <t>Priya Patel</t>
  </si>
  <si>
    <t>HR</t>
  </si>
  <si>
    <t>HR Executive</t>
  </si>
  <si>
    <t>Mumbai</t>
  </si>
  <si>
    <t>Rahul Verma</t>
  </si>
  <si>
    <t>Finance</t>
  </si>
  <si>
    <t>Accountant</t>
  </si>
  <si>
    <t>Delhi</t>
  </si>
  <si>
    <t>Sneha Reddy</t>
  </si>
  <si>
    <t>Marketing</t>
  </si>
  <si>
    <t>Marketing Executive</t>
  </si>
  <si>
    <t>Hyderabad</t>
  </si>
  <si>
    <t>Vikram Singh</t>
  </si>
  <si>
    <t>Senior Software Engineer</t>
  </si>
  <si>
    <t>Pune</t>
  </si>
  <si>
    <t>Ananya Gupta</t>
  </si>
  <si>
    <t>Sales</t>
  </si>
  <si>
    <t>Sales Executive</t>
  </si>
  <si>
    <t>Chennai</t>
  </si>
  <si>
    <t>Karan Mehta</t>
  </si>
  <si>
    <t>Operations</t>
  </si>
  <si>
    <t>Operations Manager</t>
  </si>
  <si>
    <t>Ahmedabad</t>
  </si>
  <si>
    <t>Neha Joshi</t>
  </si>
  <si>
    <t>Financial Analyst</t>
  </si>
  <si>
    <t>Arjun Nair</t>
  </si>
  <si>
    <t>Team Lead</t>
  </si>
  <si>
    <t>Kochi</t>
  </si>
  <si>
    <t>Pooja Kapoor</t>
  </si>
  <si>
    <t>HR Manager</t>
  </si>
  <si>
    <t>Rohit Jain</t>
  </si>
  <si>
    <t>Sales Manager</t>
  </si>
  <si>
    <t>Meera Iyer</t>
  </si>
  <si>
    <t>Digital Marketing Specialist</t>
  </si>
  <si>
    <t>Aditya Rao</t>
  </si>
  <si>
    <t>System Administrator</t>
  </si>
  <si>
    <t>Kavya Menon</t>
  </si>
  <si>
    <t>Finance Manager</t>
  </si>
  <si>
    <t>Suresh Kumar</t>
  </si>
  <si>
    <t>Operations Executive</t>
  </si>
  <si>
    <t>Riya Shah</t>
  </si>
  <si>
    <t>Business Analyst</t>
  </si>
  <si>
    <t>Manish Yadav</t>
  </si>
  <si>
    <t>Regional Sales Manager</t>
  </si>
  <si>
    <t>Deepika Das</t>
  </si>
  <si>
    <t>Talent Acquisition Specialist</t>
  </si>
  <si>
    <t>Kolkata</t>
  </si>
  <si>
    <t>Nitin Chawla</t>
  </si>
  <si>
    <t>Project Manager</t>
  </si>
  <si>
    <t>Gurugram</t>
  </si>
  <si>
    <t>Shreya Kulkarni</t>
  </si>
  <si>
    <t>Marketing Manager</t>
  </si>
  <si>
    <t>Employee Salary Details 2026 With all Departments</t>
  </si>
  <si>
    <t xml:space="preserve">SAGAR VALMIKI INFOTECH SOLUTION &amp; PVT LIMITED </t>
  </si>
  <si>
    <t xml:space="preserve"> No Of Days</t>
  </si>
  <si>
    <t xml:space="preserve"> No Of Working Days</t>
  </si>
  <si>
    <t xml:space="preserve"> Percentage</t>
  </si>
  <si>
    <t xml:space="preserve"> Incentive based on days</t>
  </si>
  <si>
    <t>Net Salary</t>
  </si>
  <si>
    <t>Incenstive Salary</t>
  </si>
  <si>
    <t>Employee Attence Details 2026</t>
  </si>
  <si>
    <t>Incentive Details</t>
  </si>
  <si>
    <t>(=95)</t>
  </si>
  <si>
    <t>(&lt;=90)</t>
  </si>
  <si>
    <t>(=96)</t>
  </si>
  <si>
    <t>(=97)</t>
  </si>
  <si>
    <t>(=98)</t>
  </si>
  <si>
    <t>(=99)</t>
  </si>
  <si>
    <t>(=100)</t>
  </si>
  <si>
    <t>Employees Details 2026</t>
  </si>
  <si>
    <t>SAGAR VALMIKI INFOTECH PRICATE&amp;LTD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</si>
</sst>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22"/>
      <color theme="0"/>
      <name val="Arial Black"/>
      <family val="2"/>
    </font>
    <font>
      <sz val="20"/>
      <color theme="0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1" fillId="4" borderId="0" applyNumberFormat="0" applyBorder="0" applyAlignment="0" applyProtection="0"/>
    <xf numFmtId="0" fontId="2" fillId="5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168" fontId="0" fillId="0" borderId="0" xfId="0" applyNumberForma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168" fontId="0" fillId="0" borderId="1" xfId="0" applyNumberFormat="1" applyBorder="1" applyAlignment="1">
      <alignment horizontal="left" vertical="center" wrapText="1"/>
    </xf>
    <xf numFmtId="168" fontId="0" fillId="0" borderId="1" xfId="0" applyNumberFormat="1" applyBorder="1" applyAlignment="1">
      <alignment horizontal="left" vertical="center"/>
    </xf>
    <xf numFmtId="0" fontId="7" fillId="2" borderId="6" xfId="1" applyFont="1" applyBorder="1" applyAlignment="1">
      <alignment horizontal="center" vertical="center"/>
    </xf>
    <xf numFmtId="0" fontId="6" fillId="3" borderId="2" xfId="2" applyFont="1" applyBorder="1" applyAlignment="1">
      <alignment horizontal="center" vertical="center"/>
    </xf>
    <xf numFmtId="0" fontId="6" fillId="3" borderId="3" xfId="2" applyFont="1" applyBorder="1" applyAlignment="1">
      <alignment horizontal="center" vertical="center"/>
    </xf>
    <xf numFmtId="0" fontId="6" fillId="3" borderId="4" xfId="2" applyFont="1" applyBorder="1" applyAlignment="1">
      <alignment horizontal="center" vertical="center"/>
    </xf>
    <xf numFmtId="0" fontId="6" fillId="3" borderId="5" xfId="2" applyFont="1" applyBorder="1" applyAlignment="1">
      <alignment horizontal="center" vertical="center"/>
    </xf>
    <xf numFmtId="0" fontId="6" fillId="3" borderId="6" xfId="2" applyFont="1" applyBorder="1" applyAlignment="1">
      <alignment horizontal="center" vertical="center"/>
    </xf>
    <xf numFmtId="0" fontId="6" fillId="3" borderId="7" xfId="2" applyFont="1" applyBorder="1" applyAlignment="1">
      <alignment horizontal="center" vertical="center"/>
    </xf>
    <xf numFmtId="0" fontId="8" fillId="2" borderId="2" xfId="1" applyFont="1" applyBorder="1" applyAlignment="1">
      <alignment horizontal="center" vertical="center"/>
    </xf>
    <xf numFmtId="0" fontId="8" fillId="2" borderId="3" xfId="1" applyFont="1" applyBorder="1" applyAlignment="1">
      <alignment horizontal="center" vertical="center"/>
    </xf>
    <xf numFmtId="0" fontId="8" fillId="2" borderId="4" xfId="1" applyFont="1" applyBorder="1" applyAlignment="1">
      <alignment horizontal="center" vertical="center"/>
    </xf>
    <xf numFmtId="0" fontId="8" fillId="2" borderId="5" xfId="1" applyFont="1" applyBorder="1" applyAlignment="1">
      <alignment horizontal="center" vertical="center"/>
    </xf>
    <xf numFmtId="0" fontId="8" fillId="2" borderId="6" xfId="1" applyFont="1" applyBorder="1" applyAlignment="1">
      <alignment horizontal="center" vertical="center"/>
    </xf>
    <xf numFmtId="0" fontId="8" fillId="2" borderId="7" xfId="1" applyFont="1" applyBorder="1" applyAlignment="1">
      <alignment horizontal="center" vertical="center"/>
    </xf>
    <xf numFmtId="0" fontId="1" fillId="4" borderId="1" xfId="3" applyFont="1" applyBorder="1"/>
    <xf numFmtId="0" fontId="1" fillId="4" borderId="0" xfId="3" applyFont="1"/>
    <xf numFmtId="0" fontId="1" fillId="4" borderId="1" xfId="3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68" fontId="0" fillId="0" borderId="1" xfId="0" applyNumberFormat="1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1" fillId="5" borderId="1" xfId="4" applyFont="1" applyBorder="1" applyAlignment="1">
      <alignment horizontal="center"/>
    </xf>
    <xf numFmtId="0" fontId="1" fillId="4" borderId="1" xfId="3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2" borderId="0" xfId="1" applyFont="1" applyAlignment="1">
      <alignment horizontal="center" vertical="center"/>
    </xf>
    <xf numFmtId="0" fontId="9" fillId="3" borderId="0" xfId="2" applyFont="1" applyAlignment="1">
      <alignment horizontal="center" vertical="center"/>
    </xf>
  </cellXfs>
  <cellStyles count="5">
    <cellStyle name="60% - Accent2" xfId="3" builtinId="36"/>
    <cellStyle name="Accent1" xfId="1" builtinId="29"/>
    <cellStyle name="Accent2" xfId="2" builtinId="33"/>
    <cellStyle name="Accent4" xfId="4" builtinId="41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5E1A4-40F0-44B9-B16E-C581AB091CA8}">
  <dimension ref="A1:I25"/>
  <sheetViews>
    <sheetView workbookViewId="0">
      <selection activeCell="I19" sqref="I19"/>
    </sheetView>
  </sheetViews>
  <sheetFormatPr defaultRowHeight="15" x14ac:dyDescent="0.25"/>
  <cols>
    <col min="1" max="1" width="12.140625" style="1" bestFit="1" customWidth="1"/>
    <col min="2" max="2" width="21.85546875" style="1" bestFit="1" customWidth="1"/>
    <col min="3" max="3" width="12.5703125" style="1" customWidth="1"/>
    <col min="4" max="4" width="28" style="1" customWidth="1"/>
    <col min="5" max="5" width="14.5703125" style="1" customWidth="1"/>
    <col min="6" max="6" width="19.85546875" style="1" customWidth="1"/>
    <col min="7" max="7" width="16.42578125" style="1" customWidth="1"/>
    <col min="8" max="16384" width="9.140625" style="1"/>
  </cols>
  <sheetData>
    <row r="1" spans="1:9" x14ac:dyDescent="0.25">
      <c r="A1" s="34" t="s">
        <v>107</v>
      </c>
      <c r="B1" s="34"/>
      <c r="C1" s="34"/>
      <c r="D1" s="34"/>
      <c r="E1" s="34"/>
      <c r="F1" s="34"/>
      <c r="G1" s="34"/>
    </row>
    <row r="2" spans="1:9" x14ac:dyDescent="0.25">
      <c r="A2" s="34"/>
      <c r="B2" s="34"/>
      <c r="C2" s="34"/>
      <c r="D2" s="34"/>
      <c r="E2" s="34"/>
      <c r="F2" s="34"/>
      <c r="G2" s="34"/>
    </row>
    <row r="3" spans="1:9" x14ac:dyDescent="0.25">
      <c r="A3" s="33" t="s">
        <v>106</v>
      </c>
      <c r="B3" s="33"/>
      <c r="C3" s="33"/>
      <c r="D3" s="33"/>
      <c r="E3" s="33"/>
      <c r="F3" s="33"/>
      <c r="G3" s="33"/>
    </row>
    <row r="4" spans="1:9" x14ac:dyDescent="0.25">
      <c r="A4" s="10"/>
      <c r="B4" s="10"/>
      <c r="C4" s="10"/>
      <c r="D4" s="10"/>
      <c r="E4" s="10"/>
      <c r="F4" s="10"/>
      <c r="G4" s="10"/>
    </row>
    <row r="5" spans="1:9" x14ac:dyDescent="0.25">
      <c r="A5" s="31" t="s">
        <v>0</v>
      </c>
      <c r="B5" s="31" t="s">
        <v>1</v>
      </c>
      <c r="C5" s="31" t="s">
        <v>5</v>
      </c>
      <c r="D5" s="31" t="s">
        <v>4</v>
      </c>
      <c r="E5" s="31" t="s">
        <v>2</v>
      </c>
      <c r="F5" s="31" t="s">
        <v>6</v>
      </c>
      <c r="G5" s="31" t="s">
        <v>7</v>
      </c>
    </row>
    <row r="6" spans="1:9" x14ac:dyDescent="0.25">
      <c r="A6" s="5" t="s">
        <v>13</v>
      </c>
      <c r="B6" s="6" t="s">
        <v>33</v>
      </c>
      <c r="C6" s="6" t="s">
        <v>34</v>
      </c>
      <c r="D6" s="6" t="s">
        <v>35</v>
      </c>
      <c r="E6" s="6" t="s">
        <v>36</v>
      </c>
      <c r="F6" s="7">
        <v>44576</v>
      </c>
      <c r="G6" s="8">
        <v>55000</v>
      </c>
    </row>
    <row r="7" spans="1:9" ht="15.75" x14ac:dyDescent="0.25">
      <c r="A7" s="5" t="s">
        <v>14</v>
      </c>
      <c r="B7" s="6" t="s">
        <v>37</v>
      </c>
      <c r="C7" s="6" t="s">
        <v>38</v>
      </c>
      <c r="D7" s="6" t="s">
        <v>39</v>
      </c>
      <c r="E7" s="6" t="s">
        <v>40</v>
      </c>
      <c r="F7" s="7">
        <v>44265</v>
      </c>
      <c r="G7" s="8">
        <v>40000</v>
      </c>
      <c r="I7" s="32"/>
    </row>
    <row r="8" spans="1:9" x14ac:dyDescent="0.25">
      <c r="A8" s="5" t="s">
        <v>15</v>
      </c>
      <c r="B8" s="6" t="s">
        <v>41</v>
      </c>
      <c r="C8" s="6" t="s">
        <v>42</v>
      </c>
      <c r="D8" s="6" t="s">
        <v>43</v>
      </c>
      <c r="E8" s="6" t="s">
        <v>44</v>
      </c>
      <c r="F8" s="7">
        <v>44034</v>
      </c>
      <c r="G8" s="8">
        <v>45000</v>
      </c>
    </row>
    <row r="9" spans="1:9" x14ac:dyDescent="0.25">
      <c r="A9" s="5" t="s">
        <v>16</v>
      </c>
      <c r="B9" s="6" t="s">
        <v>45</v>
      </c>
      <c r="C9" s="6" t="s">
        <v>46</v>
      </c>
      <c r="D9" s="6" t="s">
        <v>47</v>
      </c>
      <c r="E9" s="6" t="s">
        <v>48</v>
      </c>
      <c r="F9" s="7">
        <v>45082</v>
      </c>
      <c r="G9" s="8">
        <v>42000</v>
      </c>
    </row>
    <row r="10" spans="1:9" x14ac:dyDescent="0.25">
      <c r="A10" s="5" t="s">
        <v>17</v>
      </c>
      <c r="B10" s="6" t="s">
        <v>49</v>
      </c>
      <c r="C10" s="6" t="s">
        <v>34</v>
      </c>
      <c r="D10" s="6" t="s">
        <v>50</v>
      </c>
      <c r="E10" s="6" t="s">
        <v>51</v>
      </c>
      <c r="F10" s="7">
        <v>43787</v>
      </c>
      <c r="G10" s="8">
        <v>80000</v>
      </c>
    </row>
    <row r="11" spans="1:9" x14ac:dyDescent="0.25">
      <c r="A11" s="5" t="s">
        <v>18</v>
      </c>
      <c r="B11" s="6" t="s">
        <v>52</v>
      </c>
      <c r="C11" s="6" t="s">
        <v>53</v>
      </c>
      <c r="D11" s="6" t="s">
        <v>54</v>
      </c>
      <c r="E11" s="6" t="s">
        <v>55</v>
      </c>
      <c r="F11" s="7">
        <v>44604</v>
      </c>
      <c r="G11" s="8">
        <v>38000</v>
      </c>
    </row>
    <row r="12" spans="1:9" x14ac:dyDescent="0.25">
      <c r="A12" s="5" t="s">
        <v>19</v>
      </c>
      <c r="B12" s="6" t="s">
        <v>56</v>
      </c>
      <c r="C12" s="6" t="s">
        <v>57</v>
      </c>
      <c r="D12" s="6" t="s">
        <v>58</v>
      </c>
      <c r="E12" s="6" t="s">
        <v>59</v>
      </c>
      <c r="F12" s="7">
        <v>43313</v>
      </c>
      <c r="G12" s="8">
        <v>95000</v>
      </c>
    </row>
    <row r="13" spans="1:9" x14ac:dyDescent="0.25">
      <c r="A13" s="5" t="s">
        <v>20</v>
      </c>
      <c r="B13" s="6" t="s">
        <v>60</v>
      </c>
      <c r="C13" s="6" t="s">
        <v>42</v>
      </c>
      <c r="D13" s="6" t="s">
        <v>61</v>
      </c>
      <c r="E13" s="6" t="s">
        <v>36</v>
      </c>
      <c r="F13" s="7">
        <v>44464</v>
      </c>
      <c r="G13" s="8">
        <v>60000</v>
      </c>
    </row>
    <row r="14" spans="1:9" x14ac:dyDescent="0.25">
      <c r="A14" s="5" t="s">
        <v>21</v>
      </c>
      <c r="B14" s="6" t="s">
        <v>62</v>
      </c>
      <c r="C14" s="6" t="s">
        <v>34</v>
      </c>
      <c r="D14" s="6" t="s">
        <v>63</v>
      </c>
      <c r="E14" s="6" t="s">
        <v>64</v>
      </c>
      <c r="F14" s="7">
        <v>42839</v>
      </c>
      <c r="G14" s="8">
        <v>110000</v>
      </c>
    </row>
    <row r="15" spans="1:9" x14ac:dyDescent="0.25">
      <c r="A15" s="5" t="s">
        <v>22</v>
      </c>
      <c r="B15" s="6" t="s">
        <v>65</v>
      </c>
      <c r="C15" s="6" t="s">
        <v>38</v>
      </c>
      <c r="D15" s="6" t="s">
        <v>66</v>
      </c>
      <c r="E15" s="6" t="s">
        <v>44</v>
      </c>
      <c r="F15" s="7">
        <v>43807</v>
      </c>
      <c r="G15" s="8">
        <v>85000</v>
      </c>
    </row>
    <row r="16" spans="1:9" x14ac:dyDescent="0.25">
      <c r="A16" s="5" t="s">
        <v>23</v>
      </c>
      <c r="B16" s="6" t="s">
        <v>67</v>
      </c>
      <c r="C16" s="6" t="s">
        <v>53</v>
      </c>
      <c r="D16" s="6" t="s">
        <v>68</v>
      </c>
      <c r="E16" s="6" t="s">
        <v>40</v>
      </c>
      <c r="F16" s="7">
        <v>43240</v>
      </c>
      <c r="G16" s="8">
        <v>90000</v>
      </c>
    </row>
    <row r="17" spans="1:7" x14ac:dyDescent="0.25">
      <c r="A17" s="5" t="s">
        <v>24</v>
      </c>
      <c r="B17" s="6" t="s">
        <v>69</v>
      </c>
      <c r="C17" s="6" t="s">
        <v>46</v>
      </c>
      <c r="D17" s="6" t="s">
        <v>70</v>
      </c>
      <c r="E17" s="6" t="s">
        <v>55</v>
      </c>
      <c r="F17" s="7">
        <v>44578</v>
      </c>
      <c r="G17" s="8">
        <v>58000</v>
      </c>
    </row>
    <row r="18" spans="1:7" x14ac:dyDescent="0.25">
      <c r="A18" s="5" t="s">
        <v>25</v>
      </c>
      <c r="B18" s="6" t="s">
        <v>71</v>
      </c>
      <c r="C18" s="6" t="s">
        <v>34</v>
      </c>
      <c r="D18" s="6" t="s">
        <v>72</v>
      </c>
      <c r="E18" s="6" t="s">
        <v>48</v>
      </c>
      <c r="F18" s="7">
        <v>44115</v>
      </c>
      <c r="G18" s="8">
        <v>50000</v>
      </c>
    </row>
    <row r="19" spans="1:7" x14ac:dyDescent="0.25">
      <c r="A19" s="5" t="s">
        <v>26</v>
      </c>
      <c r="B19" s="6" t="s">
        <v>73</v>
      </c>
      <c r="C19" s="6" t="s">
        <v>42</v>
      </c>
      <c r="D19" s="6" t="s">
        <v>74</v>
      </c>
      <c r="E19" s="6" t="s">
        <v>36</v>
      </c>
      <c r="F19" s="7">
        <v>42797</v>
      </c>
      <c r="G19" s="8">
        <v>100000</v>
      </c>
    </row>
    <row r="20" spans="1:7" x14ac:dyDescent="0.25">
      <c r="A20" s="5" t="s">
        <v>27</v>
      </c>
      <c r="B20" s="6" t="s">
        <v>75</v>
      </c>
      <c r="C20" s="6" t="s">
        <v>57</v>
      </c>
      <c r="D20" s="6" t="s">
        <v>76</v>
      </c>
      <c r="E20" s="6" t="s">
        <v>51</v>
      </c>
      <c r="F20" s="7">
        <v>45135</v>
      </c>
      <c r="G20" s="8">
        <v>35000</v>
      </c>
    </row>
    <row r="21" spans="1:7" x14ac:dyDescent="0.25">
      <c r="A21" s="5" t="s">
        <v>28</v>
      </c>
      <c r="B21" s="6" t="s">
        <v>77</v>
      </c>
      <c r="C21" s="6" t="s">
        <v>34</v>
      </c>
      <c r="D21" s="6" t="s">
        <v>78</v>
      </c>
      <c r="E21" s="6" t="s">
        <v>59</v>
      </c>
      <c r="F21" s="7">
        <v>44356</v>
      </c>
      <c r="G21" s="8">
        <v>65000</v>
      </c>
    </row>
    <row r="22" spans="1:7" x14ac:dyDescent="0.25">
      <c r="A22" s="5" t="s">
        <v>29</v>
      </c>
      <c r="B22" s="6" t="s">
        <v>79</v>
      </c>
      <c r="C22" s="6" t="s">
        <v>53</v>
      </c>
      <c r="D22" s="6" t="s">
        <v>80</v>
      </c>
      <c r="E22" s="6" t="s">
        <v>44</v>
      </c>
      <c r="F22" s="7">
        <v>42415</v>
      </c>
      <c r="G22" s="8">
        <v>120000</v>
      </c>
    </row>
    <row r="23" spans="1:7" x14ac:dyDescent="0.25">
      <c r="A23" s="5" t="s">
        <v>30</v>
      </c>
      <c r="B23" s="6" t="s">
        <v>81</v>
      </c>
      <c r="C23" s="6" t="s">
        <v>38</v>
      </c>
      <c r="D23" s="6" t="s">
        <v>82</v>
      </c>
      <c r="E23" s="6" t="s">
        <v>83</v>
      </c>
      <c r="F23" s="7">
        <v>44657</v>
      </c>
      <c r="G23" s="8">
        <v>48000</v>
      </c>
    </row>
    <row r="24" spans="1:7" x14ac:dyDescent="0.25">
      <c r="A24" s="5" t="s">
        <v>31</v>
      </c>
      <c r="B24" s="6" t="s">
        <v>84</v>
      </c>
      <c r="C24" s="6" t="s">
        <v>34</v>
      </c>
      <c r="D24" s="6" t="s">
        <v>85</v>
      </c>
      <c r="E24" s="6" t="s">
        <v>86</v>
      </c>
      <c r="F24" s="7">
        <v>43362</v>
      </c>
      <c r="G24" s="8">
        <v>130000</v>
      </c>
    </row>
    <row r="25" spans="1:7" x14ac:dyDescent="0.25">
      <c r="A25" s="5" t="s">
        <v>32</v>
      </c>
      <c r="B25" s="6" t="s">
        <v>87</v>
      </c>
      <c r="C25" s="6" t="s">
        <v>46</v>
      </c>
      <c r="D25" s="6" t="s">
        <v>88</v>
      </c>
      <c r="E25" s="6" t="s">
        <v>40</v>
      </c>
      <c r="F25" s="7">
        <v>43793</v>
      </c>
      <c r="G25" s="8">
        <v>88000</v>
      </c>
    </row>
  </sheetData>
  <mergeCells count="2">
    <mergeCell ref="A3:G4"/>
    <mergeCell ref="A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6485D-44A9-45F3-851B-9334D4FED1E7}">
  <dimension ref="A1:P25"/>
  <sheetViews>
    <sheetView tabSelected="1" workbookViewId="0">
      <selection activeCell="D18" sqref="D18"/>
    </sheetView>
  </sheetViews>
  <sheetFormatPr defaultColWidth="29.140625" defaultRowHeight="15" x14ac:dyDescent="0.25"/>
  <cols>
    <col min="1" max="1" width="14.42578125" style="26" customWidth="1"/>
    <col min="2" max="2" width="19" style="26" customWidth="1"/>
    <col min="3" max="3" width="16.28515625" style="26" customWidth="1"/>
    <col min="4" max="4" width="29.140625" style="26"/>
    <col min="5" max="5" width="16.85546875" style="26" customWidth="1"/>
    <col min="6" max="6" width="12.85546875" style="26" customWidth="1"/>
    <col min="7" max="7" width="13.140625" style="26" customWidth="1"/>
    <col min="8" max="8" width="12.140625" style="26" customWidth="1"/>
    <col min="9" max="9" width="19.140625" style="26" customWidth="1"/>
    <col min="10" max="10" width="12.28515625" style="26" customWidth="1"/>
    <col min="11" max="11" width="24" style="26" customWidth="1"/>
    <col min="12" max="12" width="15.140625" style="26" customWidth="1"/>
    <col min="13" max="13" width="14.5703125" style="26" customWidth="1"/>
    <col min="14" max="14" width="6.28515625" style="26" customWidth="1"/>
    <col min="15" max="15" width="14.42578125" style="26" customWidth="1"/>
    <col min="16" max="16" width="17" style="26" customWidth="1"/>
    <col min="17" max="16384" width="29.140625" style="26"/>
  </cols>
  <sheetData>
    <row r="1" spans="1:16" ht="15" customHeight="1" x14ac:dyDescent="0.25">
      <c r="A1" s="17" t="s">
        <v>90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</row>
    <row r="2" spans="1:16" ht="15" customHeight="1" x14ac:dyDescent="0.25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2"/>
    </row>
    <row r="3" spans="1:16" ht="15" customHeight="1" x14ac:dyDescent="0.25">
      <c r="A3" s="11" t="s">
        <v>97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3"/>
    </row>
    <row r="4" spans="1:16" ht="15" customHeight="1" x14ac:dyDescent="0.25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6"/>
    </row>
    <row r="5" spans="1:16" x14ac:dyDescent="0.25">
      <c r="A5" s="25" t="s">
        <v>0</v>
      </c>
      <c r="B5" s="25" t="s">
        <v>1</v>
      </c>
      <c r="C5" s="25" t="s">
        <v>5</v>
      </c>
      <c r="D5" s="25" t="s">
        <v>4</v>
      </c>
      <c r="E5" s="25" t="s">
        <v>2</v>
      </c>
      <c r="F5" s="23" t="s">
        <v>6</v>
      </c>
      <c r="G5" s="23" t="s">
        <v>7</v>
      </c>
      <c r="H5" s="23" t="s">
        <v>91</v>
      </c>
      <c r="I5" s="23" t="s">
        <v>92</v>
      </c>
      <c r="J5" s="23" t="s">
        <v>93</v>
      </c>
      <c r="K5" s="23" t="s">
        <v>94</v>
      </c>
      <c r="L5" s="23" t="s">
        <v>96</v>
      </c>
      <c r="M5" s="23" t="s">
        <v>95</v>
      </c>
    </row>
    <row r="6" spans="1:16" x14ac:dyDescent="0.25">
      <c r="A6" s="5" t="s">
        <v>13</v>
      </c>
      <c r="B6" s="6" t="s">
        <v>33</v>
      </c>
      <c r="C6" s="6" t="s">
        <v>34</v>
      </c>
      <c r="D6" s="6" t="s">
        <v>35</v>
      </c>
      <c r="E6" s="6" t="s">
        <v>36</v>
      </c>
      <c r="F6" s="7">
        <v>44576</v>
      </c>
      <c r="G6" s="8">
        <v>55000</v>
      </c>
      <c r="H6" s="27">
        <v>20</v>
      </c>
      <c r="I6" s="27">
        <v>19</v>
      </c>
      <c r="J6" s="27">
        <f>I6/H6*100</f>
        <v>95</v>
      </c>
      <c r="K6" s="27" t="str" cm="1">
        <f t="array" ref="K6">_xlfn.IFS(J6&lt;=95,"10%",J6=96,"12%",J6=97,"14%",J6=98,"16%",J6=99,"18%",J6=100,"20%")</f>
        <v>10%</v>
      </c>
      <c r="L6" s="28">
        <f>G6*K6</f>
        <v>5500</v>
      </c>
      <c r="M6" s="28">
        <f>G6+L6</f>
        <v>60500</v>
      </c>
      <c r="O6" s="30" t="s">
        <v>98</v>
      </c>
      <c r="P6" s="30"/>
    </row>
    <row r="7" spans="1:16" x14ac:dyDescent="0.25">
      <c r="A7" s="5" t="s">
        <v>14</v>
      </c>
      <c r="B7" s="6" t="s">
        <v>37</v>
      </c>
      <c r="C7" s="6" t="s">
        <v>38</v>
      </c>
      <c r="D7" s="6" t="s">
        <v>39</v>
      </c>
      <c r="E7" s="6" t="s">
        <v>40</v>
      </c>
      <c r="F7" s="7">
        <v>44265</v>
      </c>
      <c r="G7" s="8">
        <v>40000</v>
      </c>
      <c r="H7" s="27">
        <v>20</v>
      </c>
      <c r="I7" s="27">
        <v>18</v>
      </c>
      <c r="J7" s="27">
        <f t="shared" ref="J7:J25" si="0">I7/H7*100</f>
        <v>90</v>
      </c>
      <c r="K7" s="27" t="str" cm="1">
        <f t="array" ref="K7">_xlfn.IFS(J7&lt;=95,"10%",J7=96,"12%",J7=97,"14%",J7=98,"16%",J7=99,"18%",J7=100,"20%")</f>
        <v>10%</v>
      </c>
      <c r="L7" s="28">
        <f t="shared" ref="L7:L25" si="1">G7*K7</f>
        <v>4000</v>
      </c>
      <c r="M7" s="28">
        <f t="shared" ref="M7:M25" si="2">G7+L7</f>
        <v>44000</v>
      </c>
      <c r="O7" s="27" t="s">
        <v>100</v>
      </c>
      <c r="P7" s="29">
        <v>0.1</v>
      </c>
    </row>
    <row r="8" spans="1:16" x14ac:dyDescent="0.25">
      <c r="A8" s="5" t="s">
        <v>15</v>
      </c>
      <c r="B8" s="6" t="s">
        <v>41</v>
      </c>
      <c r="C8" s="6" t="s">
        <v>42</v>
      </c>
      <c r="D8" s="6" t="s">
        <v>43</v>
      </c>
      <c r="E8" s="6" t="s">
        <v>44</v>
      </c>
      <c r="F8" s="7">
        <v>44034</v>
      </c>
      <c r="G8" s="8">
        <v>45000</v>
      </c>
      <c r="H8" s="27">
        <v>20</v>
      </c>
      <c r="I8" s="27">
        <v>20</v>
      </c>
      <c r="J8" s="27">
        <f t="shared" si="0"/>
        <v>100</v>
      </c>
      <c r="K8" s="27" t="str" cm="1">
        <f t="array" ref="K8">_xlfn.IFS(J8&lt;=95,"10%",J8=96,"12%",J8=97,"14%",J8=98,"16%",J8=99,"18%",J8=100,"20%")</f>
        <v>20%</v>
      </c>
      <c r="L8" s="28">
        <f t="shared" si="1"/>
        <v>9000</v>
      </c>
      <c r="M8" s="28">
        <f t="shared" si="2"/>
        <v>54000</v>
      </c>
      <c r="O8" s="27" t="s">
        <v>99</v>
      </c>
      <c r="P8" s="29">
        <v>0.12</v>
      </c>
    </row>
    <row r="9" spans="1:16" x14ac:dyDescent="0.25">
      <c r="A9" s="5" t="s">
        <v>16</v>
      </c>
      <c r="B9" s="6" t="s">
        <v>45</v>
      </c>
      <c r="C9" s="6" t="s">
        <v>46</v>
      </c>
      <c r="D9" s="6" t="s">
        <v>47</v>
      </c>
      <c r="E9" s="6" t="s">
        <v>48</v>
      </c>
      <c r="F9" s="7">
        <v>45082</v>
      </c>
      <c r="G9" s="8">
        <v>42000</v>
      </c>
      <c r="H9" s="27">
        <v>20</v>
      </c>
      <c r="I9" s="27">
        <v>20</v>
      </c>
      <c r="J9" s="27">
        <f t="shared" si="0"/>
        <v>100</v>
      </c>
      <c r="K9" s="27" t="str" cm="1">
        <f t="array" ref="K9">_xlfn.IFS(J9&lt;=95,"10%",J9=96,"12%",J9=97,"14%",J9=98,"16%",J9=99,"18%",J9=100,"20%")</f>
        <v>20%</v>
      </c>
      <c r="L9" s="28">
        <f t="shared" si="1"/>
        <v>8400</v>
      </c>
      <c r="M9" s="28">
        <f t="shared" si="2"/>
        <v>50400</v>
      </c>
      <c r="O9" s="27" t="s">
        <v>101</v>
      </c>
      <c r="P9" s="29">
        <v>0.14000000000000001</v>
      </c>
    </row>
    <row r="10" spans="1:16" x14ac:dyDescent="0.25">
      <c r="A10" s="5" t="s">
        <v>17</v>
      </c>
      <c r="B10" s="6" t="s">
        <v>49</v>
      </c>
      <c r="C10" s="6" t="s">
        <v>34</v>
      </c>
      <c r="D10" s="6" t="s">
        <v>50</v>
      </c>
      <c r="E10" s="6" t="s">
        <v>51</v>
      </c>
      <c r="F10" s="7">
        <v>43787</v>
      </c>
      <c r="G10" s="8">
        <v>80000</v>
      </c>
      <c r="H10" s="27">
        <v>20</v>
      </c>
      <c r="I10" s="27">
        <v>20</v>
      </c>
      <c r="J10" s="27">
        <f t="shared" si="0"/>
        <v>100</v>
      </c>
      <c r="K10" s="27" t="str" cm="1">
        <f t="array" ref="K10">_xlfn.IFS(J10&lt;=95,"10%",J10=96,"12%",J10=97,"14%",J10=98,"16%",J10=99,"18%",J10=100,"20%")</f>
        <v>20%</v>
      </c>
      <c r="L10" s="28">
        <f t="shared" si="1"/>
        <v>16000</v>
      </c>
      <c r="M10" s="28">
        <f t="shared" si="2"/>
        <v>96000</v>
      </c>
      <c r="O10" s="27" t="s">
        <v>102</v>
      </c>
      <c r="P10" s="29">
        <v>0.16</v>
      </c>
    </row>
    <row r="11" spans="1:16" x14ac:dyDescent="0.25">
      <c r="A11" s="5" t="s">
        <v>18</v>
      </c>
      <c r="B11" s="6" t="s">
        <v>52</v>
      </c>
      <c r="C11" s="6" t="s">
        <v>53</v>
      </c>
      <c r="D11" s="6" t="s">
        <v>54</v>
      </c>
      <c r="E11" s="6" t="s">
        <v>55</v>
      </c>
      <c r="F11" s="7">
        <v>44604</v>
      </c>
      <c r="G11" s="8">
        <v>38000</v>
      </c>
      <c r="H11" s="27">
        <v>20</v>
      </c>
      <c r="I11" s="27">
        <v>16</v>
      </c>
      <c r="J11" s="27">
        <f t="shared" si="0"/>
        <v>80</v>
      </c>
      <c r="K11" s="27" t="str" cm="1">
        <f t="array" ref="K11">_xlfn.IFS(J11&lt;=95,"10%",J11=96,"12%",J11=97,"14%",J11=98,"16%",J11=99,"18%",J11=100,"20%")</f>
        <v>10%</v>
      </c>
      <c r="L11" s="28">
        <f t="shared" si="1"/>
        <v>3800</v>
      </c>
      <c r="M11" s="28">
        <f t="shared" si="2"/>
        <v>41800</v>
      </c>
      <c r="O11" s="27" t="s">
        <v>103</v>
      </c>
      <c r="P11" s="29">
        <v>0.18</v>
      </c>
    </row>
    <row r="12" spans="1:16" x14ac:dyDescent="0.25">
      <c r="A12" s="5" t="s">
        <v>19</v>
      </c>
      <c r="B12" s="6" t="s">
        <v>56</v>
      </c>
      <c r="C12" s="6" t="s">
        <v>57</v>
      </c>
      <c r="D12" s="6" t="s">
        <v>58</v>
      </c>
      <c r="E12" s="6" t="s">
        <v>59</v>
      </c>
      <c r="F12" s="7">
        <v>43313</v>
      </c>
      <c r="G12" s="8">
        <v>95000</v>
      </c>
      <c r="H12" s="27">
        <v>20</v>
      </c>
      <c r="I12" s="27">
        <v>20</v>
      </c>
      <c r="J12" s="27">
        <f t="shared" si="0"/>
        <v>100</v>
      </c>
      <c r="K12" s="27" t="str" cm="1">
        <f t="array" ref="K12">_xlfn.IFS(J12&lt;=95,"10%",J12=96,"12%",J12=97,"14%",J12=98,"16%",J12=99,"18%",J12=100,"20%")</f>
        <v>20%</v>
      </c>
      <c r="L12" s="28">
        <f t="shared" si="1"/>
        <v>19000</v>
      </c>
      <c r="M12" s="28">
        <f t="shared" si="2"/>
        <v>114000</v>
      </c>
      <c r="O12" s="27" t="s">
        <v>104</v>
      </c>
      <c r="P12" s="29">
        <v>0.2</v>
      </c>
    </row>
    <row r="13" spans="1:16" x14ac:dyDescent="0.25">
      <c r="A13" s="5" t="s">
        <v>20</v>
      </c>
      <c r="B13" s="6" t="s">
        <v>60</v>
      </c>
      <c r="C13" s="6" t="s">
        <v>42</v>
      </c>
      <c r="D13" s="6" t="s">
        <v>61</v>
      </c>
      <c r="E13" s="6" t="s">
        <v>36</v>
      </c>
      <c r="F13" s="7">
        <v>44464</v>
      </c>
      <c r="G13" s="8">
        <v>60000</v>
      </c>
      <c r="H13" s="27">
        <v>20</v>
      </c>
      <c r="I13" s="27">
        <v>18</v>
      </c>
      <c r="J13" s="27">
        <f t="shared" si="0"/>
        <v>90</v>
      </c>
      <c r="K13" s="27" t="str" cm="1">
        <f t="array" ref="K13">_xlfn.IFS(J13&lt;=95,"10%",J13=96,"12%",J13=97,"14%",J13=98,"16%",J13=99,"18%",J13=100,"20%")</f>
        <v>10%</v>
      </c>
      <c r="L13" s="28">
        <f t="shared" si="1"/>
        <v>6000</v>
      </c>
      <c r="M13" s="28">
        <f t="shared" si="2"/>
        <v>66000</v>
      </c>
      <c r="O13" s="27" t="s">
        <v>105</v>
      </c>
      <c r="P13" s="29">
        <v>0.22</v>
      </c>
    </row>
    <row r="14" spans="1:16" x14ac:dyDescent="0.25">
      <c r="A14" s="5" t="s">
        <v>21</v>
      </c>
      <c r="B14" s="6" t="s">
        <v>62</v>
      </c>
      <c r="C14" s="6" t="s">
        <v>34</v>
      </c>
      <c r="D14" s="6" t="s">
        <v>63</v>
      </c>
      <c r="E14" s="6" t="s">
        <v>64</v>
      </c>
      <c r="F14" s="7">
        <v>42839</v>
      </c>
      <c r="G14" s="8">
        <v>110000</v>
      </c>
      <c r="H14" s="27">
        <v>20</v>
      </c>
      <c r="I14" s="27">
        <v>19</v>
      </c>
      <c r="J14" s="27">
        <f t="shared" si="0"/>
        <v>95</v>
      </c>
      <c r="K14" s="27" t="str" cm="1">
        <f t="array" ref="K14">_xlfn.IFS(J14&lt;=95,"10%",J14=96,"12%",J14=97,"14%",J14=98,"16%",J14=99,"18%",J14=100,"20%")</f>
        <v>10%</v>
      </c>
      <c r="L14" s="28">
        <f t="shared" si="1"/>
        <v>11000</v>
      </c>
      <c r="M14" s="28">
        <f t="shared" si="2"/>
        <v>121000</v>
      </c>
    </row>
    <row r="15" spans="1:16" x14ac:dyDescent="0.25">
      <c r="A15" s="5" t="s">
        <v>22</v>
      </c>
      <c r="B15" s="6" t="s">
        <v>65</v>
      </c>
      <c r="C15" s="6" t="s">
        <v>38</v>
      </c>
      <c r="D15" s="6" t="s">
        <v>66</v>
      </c>
      <c r="E15" s="6" t="s">
        <v>44</v>
      </c>
      <c r="F15" s="7">
        <v>43807</v>
      </c>
      <c r="G15" s="8">
        <v>85000</v>
      </c>
      <c r="H15" s="27">
        <v>20</v>
      </c>
      <c r="I15" s="27">
        <v>19</v>
      </c>
      <c r="J15" s="27">
        <f t="shared" si="0"/>
        <v>95</v>
      </c>
      <c r="K15" s="27" t="str" cm="1">
        <f t="array" ref="K15">_xlfn.IFS(J15&lt;=95,"10%",J15=96,"12%",J15=97,"14%",J15=98,"16%",J15=99,"18%",J15=100,"20%")</f>
        <v>10%</v>
      </c>
      <c r="L15" s="28">
        <f t="shared" si="1"/>
        <v>8500</v>
      </c>
      <c r="M15" s="28">
        <f t="shared" si="2"/>
        <v>93500</v>
      </c>
    </row>
    <row r="16" spans="1:16" x14ac:dyDescent="0.25">
      <c r="A16" s="5" t="s">
        <v>23</v>
      </c>
      <c r="B16" s="6" t="s">
        <v>67</v>
      </c>
      <c r="C16" s="6" t="s">
        <v>53</v>
      </c>
      <c r="D16" s="6" t="s">
        <v>68</v>
      </c>
      <c r="E16" s="6" t="s">
        <v>40</v>
      </c>
      <c r="F16" s="7">
        <v>43240</v>
      </c>
      <c r="G16" s="8">
        <v>90000</v>
      </c>
      <c r="H16" s="27">
        <v>20</v>
      </c>
      <c r="I16" s="27">
        <v>20</v>
      </c>
      <c r="J16" s="27">
        <f t="shared" si="0"/>
        <v>100</v>
      </c>
      <c r="K16" s="27" t="str" cm="1">
        <f t="array" ref="K16">_xlfn.IFS(J16&lt;=95,"10%",J16=96,"12%",J16=97,"14%",J16=98,"16%",J16=99,"18%",J16=100,"20%")</f>
        <v>20%</v>
      </c>
      <c r="L16" s="28">
        <f t="shared" si="1"/>
        <v>18000</v>
      </c>
      <c r="M16" s="28">
        <f t="shared" si="2"/>
        <v>108000</v>
      </c>
    </row>
    <row r="17" spans="1:13" x14ac:dyDescent="0.25">
      <c r="A17" s="5" t="s">
        <v>24</v>
      </c>
      <c r="B17" s="6" t="s">
        <v>69</v>
      </c>
      <c r="C17" s="6" t="s">
        <v>46</v>
      </c>
      <c r="D17" s="6" t="s">
        <v>70</v>
      </c>
      <c r="E17" s="6" t="s">
        <v>55</v>
      </c>
      <c r="F17" s="7">
        <v>44578</v>
      </c>
      <c r="G17" s="8">
        <v>58000</v>
      </c>
      <c r="H17" s="27">
        <v>20</v>
      </c>
      <c r="I17" s="27">
        <v>20</v>
      </c>
      <c r="J17" s="27">
        <f t="shared" si="0"/>
        <v>100</v>
      </c>
      <c r="K17" s="27" t="str" cm="1">
        <f t="array" ref="K17">_xlfn.IFS(J17&lt;=95,"10%",J17=96,"12%",J17=97,"14%",J17=98,"16%",J17=99,"18%",J17=100,"20%")</f>
        <v>20%</v>
      </c>
      <c r="L17" s="28">
        <f t="shared" si="1"/>
        <v>11600</v>
      </c>
      <c r="M17" s="28">
        <f t="shared" si="2"/>
        <v>69600</v>
      </c>
    </row>
    <row r="18" spans="1:13" x14ac:dyDescent="0.25">
      <c r="A18" s="5" t="s">
        <v>25</v>
      </c>
      <c r="B18" s="6" t="s">
        <v>71</v>
      </c>
      <c r="C18" s="6" t="s">
        <v>34</v>
      </c>
      <c r="D18" s="6" t="s">
        <v>72</v>
      </c>
      <c r="E18" s="6" t="s">
        <v>48</v>
      </c>
      <c r="F18" s="7">
        <v>44115</v>
      </c>
      <c r="G18" s="8">
        <v>50000</v>
      </c>
      <c r="H18" s="27">
        <v>20</v>
      </c>
      <c r="I18" s="27">
        <v>19</v>
      </c>
      <c r="J18" s="27">
        <f t="shared" si="0"/>
        <v>95</v>
      </c>
      <c r="K18" s="27" t="str" cm="1">
        <f t="array" ref="K18">_xlfn.IFS(J18&lt;=95,"10%",J18=96,"12%",J18=97,"14%",J18=98,"16%",J18=99,"18%",J18=100,"20%")</f>
        <v>10%</v>
      </c>
      <c r="L18" s="28">
        <f t="shared" si="1"/>
        <v>5000</v>
      </c>
      <c r="M18" s="28">
        <f t="shared" si="2"/>
        <v>55000</v>
      </c>
    </row>
    <row r="19" spans="1:13" x14ac:dyDescent="0.25">
      <c r="A19" s="5" t="s">
        <v>26</v>
      </c>
      <c r="B19" s="6" t="s">
        <v>73</v>
      </c>
      <c r="C19" s="6" t="s">
        <v>42</v>
      </c>
      <c r="D19" s="6" t="s">
        <v>74</v>
      </c>
      <c r="E19" s="6" t="s">
        <v>36</v>
      </c>
      <c r="F19" s="7">
        <v>42797</v>
      </c>
      <c r="G19" s="8">
        <v>100000</v>
      </c>
      <c r="H19" s="27">
        <v>20</v>
      </c>
      <c r="I19" s="27">
        <v>20</v>
      </c>
      <c r="J19" s="27">
        <f t="shared" si="0"/>
        <v>100</v>
      </c>
      <c r="K19" s="27" t="str" cm="1">
        <f t="array" ref="K19">_xlfn.IFS(J19&lt;=95,"10%",J19=96,"12%",J19=97,"14%",J19=98,"16%",J19=99,"18%",J19=100,"20%")</f>
        <v>20%</v>
      </c>
      <c r="L19" s="28">
        <f t="shared" si="1"/>
        <v>20000</v>
      </c>
      <c r="M19" s="28">
        <f t="shared" si="2"/>
        <v>120000</v>
      </c>
    </row>
    <row r="20" spans="1:13" x14ac:dyDescent="0.25">
      <c r="A20" s="5" t="s">
        <v>27</v>
      </c>
      <c r="B20" s="6" t="s">
        <v>75</v>
      </c>
      <c r="C20" s="6" t="s">
        <v>57</v>
      </c>
      <c r="D20" s="6" t="s">
        <v>76</v>
      </c>
      <c r="E20" s="6" t="s">
        <v>51</v>
      </c>
      <c r="F20" s="7">
        <v>45135</v>
      </c>
      <c r="G20" s="8">
        <v>35000</v>
      </c>
      <c r="H20" s="27">
        <v>20</v>
      </c>
      <c r="I20" s="27">
        <v>18</v>
      </c>
      <c r="J20" s="27">
        <f t="shared" si="0"/>
        <v>90</v>
      </c>
      <c r="K20" s="27" t="str" cm="1">
        <f t="array" ref="K20">_xlfn.IFS(J20&lt;=95,"10%",J20=96,"12%",J20=97,"14%",J20=98,"16%",J20=99,"18%",J20=100,"20%")</f>
        <v>10%</v>
      </c>
      <c r="L20" s="28">
        <f t="shared" si="1"/>
        <v>3500</v>
      </c>
      <c r="M20" s="28">
        <f t="shared" si="2"/>
        <v>38500</v>
      </c>
    </row>
    <row r="21" spans="1:13" x14ac:dyDescent="0.25">
      <c r="A21" s="5" t="s">
        <v>28</v>
      </c>
      <c r="B21" s="6" t="s">
        <v>77</v>
      </c>
      <c r="C21" s="6" t="s">
        <v>34</v>
      </c>
      <c r="D21" s="6" t="s">
        <v>78</v>
      </c>
      <c r="E21" s="6" t="s">
        <v>59</v>
      </c>
      <c r="F21" s="7">
        <v>44356</v>
      </c>
      <c r="G21" s="8">
        <v>65000</v>
      </c>
      <c r="H21" s="27">
        <v>20</v>
      </c>
      <c r="I21" s="27">
        <v>17</v>
      </c>
      <c r="J21" s="27">
        <f t="shared" si="0"/>
        <v>85</v>
      </c>
      <c r="K21" s="27" t="str" cm="1">
        <f t="array" ref="K21">_xlfn.IFS(J21&lt;=95,"10%",J21=96,"12%",J21=97,"14%",J21=98,"16%",J21=99,"18%",J21=100,"20%")</f>
        <v>10%</v>
      </c>
      <c r="L21" s="28">
        <f t="shared" si="1"/>
        <v>6500</v>
      </c>
      <c r="M21" s="28">
        <f t="shared" si="2"/>
        <v>71500</v>
      </c>
    </row>
    <row r="22" spans="1:13" x14ac:dyDescent="0.25">
      <c r="A22" s="5" t="s">
        <v>29</v>
      </c>
      <c r="B22" s="6" t="s">
        <v>79</v>
      </c>
      <c r="C22" s="6" t="s">
        <v>53</v>
      </c>
      <c r="D22" s="6" t="s">
        <v>80</v>
      </c>
      <c r="E22" s="6" t="s">
        <v>44</v>
      </c>
      <c r="F22" s="7">
        <v>42415</v>
      </c>
      <c r="G22" s="8">
        <v>120000</v>
      </c>
      <c r="H22" s="27">
        <v>20</v>
      </c>
      <c r="I22" s="27">
        <v>20</v>
      </c>
      <c r="J22" s="27">
        <f t="shared" si="0"/>
        <v>100</v>
      </c>
      <c r="K22" s="27" t="str" cm="1">
        <f t="array" ref="K22">_xlfn.IFS(J22&lt;=95,"10%",J22=96,"12%",J22=97,"14%",J22=98,"16%",J22=99,"18%",J22=100,"20%")</f>
        <v>20%</v>
      </c>
      <c r="L22" s="28">
        <f t="shared" si="1"/>
        <v>24000</v>
      </c>
      <c r="M22" s="28">
        <f t="shared" si="2"/>
        <v>144000</v>
      </c>
    </row>
    <row r="23" spans="1:13" x14ac:dyDescent="0.25">
      <c r="A23" s="5" t="s">
        <v>30</v>
      </c>
      <c r="B23" s="6" t="s">
        <v>81</v>
      </c>
      <c r="C23" s="6" t="s">
        <v>38</v>
      </c>
      <c r="D23" s="6" t="s">
        <v>82</v>
      </c>
      <c r="E23" s="6" t="s">
        <v>83</v>
      </c>
      <c r="F23" s="7">
        <v>44657</v>
      </c>
      <c r="G23" s="8">
        <v>48000</v>
      </c>
      <c r="H23" s="27">
        <v>20</v>
      </c>
      <c r="I23" s="27">
        <v>20</v>
      </c>
      <c r="J23" s="27">
        <f t="shared" si="0"/>
        <v>100</v>
      </c>
      <c r="K23" s="27" t="str" cm="1">
        <f t="array" ref="K23">_xlfn.IFS(J23&lt;=95,"10%",J23=96,"12%",J23=97,"14%",J23=98,"16%",J23=99,"18%",J23=100,"20%")</f>
        <v>20%</v>
      </c>
      <c r="L23" s="28">
        <f t="shared" si="1"/>
        <v>9600</v>
      </c>
      <c r="M23" s="28">
        <f t="shared" si="2"/>
        <v>57600</v>
      </c>
    </row>
    <row r="24" spans="1:13" x14ac:dyDescent="0.25">
      <c r="A24" s="5" t="s">
        <v>31</v>
      </c>
      <c r="B24" s="6" t="s">
        <v>84</v>
      </c>
      <c r="C24" s="6" t="s">
        <v>34</v>
      </c>
      <c r="D24" s="6" t="s">
        <v>85</v>
      </c>
      <c r="E24" s="6" t="s">
        <v>86</v>
      </c>
      <c r="F24" s="7">
        <v>43362</v>
      </c>
      <c r="G24" s="8">
        <v>130000</v>
      </c>
      <c r="H24" s="27">
        <v>20</v>
      </c>
      <c r="I24" s="27">
        <v>19</v>
      </c>
      <c r="J24" s="27">
        <f t="shared" si="0"/>
        <v>95</v>
      </c>
      <c r="K24" s="27" t="str" cm="1">
        <f t="array" ref="K24">_xlfn.IFS(J24&lt;=95,"10%",J24=96,"12%",J24=97,"14%",J24=98,"16%",J24=99,"18%",J24=100,"20%")</f>
        <v>10%</v>
      </c>
      <c r="L24" s="28">
        <f t="shared" si="1"/>
        <v>13000</v>
      </c>
      <c r="M24" s="28">
        <f t="shared" si="2"/>
        <v>143000</v>
      </c>
    </row>
    <row r="25" spans="1:13" x14ac:dyDescent="0.25">
      <c r="A25" s="5" t="s">
        <v>32</v>
      </c>
      <c r="B25" s="6" t="s">
        <v>87</v>
      </c>
      <c r="C25" s="6" t="s">
        <v>46</v>
      </c>
      <c r="D25" s="6" t="s">
        <v>88</v>
      </c>
      <c r="E25" s="6" t="s">
        <v>40</v>
      </c>
      <c r="F25" s="7">
        <v>43793</v>
      </c>
      <c r="G25" s="8">
        <v>88000</v>
      </c>
      <c r="H25" s="27">
        <v>20</v>
      </c>
      <c r="I25" s="27">
        <v>18</v>
      </c>
      <c r="J25" s="27">
        <f t="shared" si="0"/>
        <v>90</v>
      </c>
      <c r="K25" s="27" t="str" cm="1">
        <f t="array" ref="K25">_xlfn.IFS(J25&lt;=95,"10%",J25=96,"12%",J25=97,"14%",J25=98,"16%",J25=99,"18%",J25=100,"20%")</f>
        <v>10%</v>
      </c>
      <c r="L25" s="28">
        <f t="shared" si="1"/>
        <v>8800</v>
      </c>
      <c r="M25" s="28">
        <f t="shared" si="2"/>
        <v>96800</v>
      </c>
    </row>
  </sheetData>
  <mergeCells count="3">
    <mergeCell ref="A1:M2"/>
    <mergeCell ref="A3:M4"/>
    <mergeCell ref="O6:P6"/>
  </mergeCells>
  <conditionalFormatting sqref="O7:P13">
    <cfRule type="top10" dxfId="0" priority="1" percent="1" rank="1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63073-6698-4173-93F8-C6E1A0EBCCE3}">
  <dimension ref="A1:M25"/>
  <sheetViews>
    <sheetView topLeftCell="A9" zoomScale="93" workbookViewId="0">
      <selection activeCell="A5" sqref="A5:G25"/>
    </sheetView>
  </sheetViews>
  <sheetFormatPr defaultRowHeight="15" x14ac:dyDescent="0.25"/>
  <cols>
    <col min="1" max="1" width="12.42578125" style="1" customWidth="1"/>
    <col min="2" max="3" width="21.5703125" style="1" customWidth="1"/>
    <col min="4" max="4" width="27.85546875" style="1" customWidth="1"/>
    <col min="5" max="5" width="13.85546875" style="1" customWidth="1"/>
    <col min="6" max="6" width="13.85546875" style="2" customWidth="1"/>
    <col min="7" max="7" width="17.42578125" style="3" customWidth="1"/>
    <col min="8" max="10" width="13.85546875" style="1" customWidth="1"/>
    <col min="11" max="12" width="17.42578125" style="1" customWidth="1"/>
    <col min="13" max="13" width="15.5703125" style="1" customWidth="1"/>
    <col min="14" max="16384" width="9.140625" style="1"/>
  </cols>
  <sheetData>
    <row r="1" spans="1:13" s="4" customFormat="1" ht="15" customHeight="1" x14ac:dyDescent="0.25">
      <c r="A1" s="17" t="s">
        <v>90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</row>
    <row r="2" spans="1:13" s="4" customFormat="1" ht="15" customHeight="1" x14ac:dyDescent="0.25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2"/>
    </row>
    <row r="3" spans="1:13" x14ac:dyDescent="0.25">
      <c r="A3" s="11" t="s">
        <v>89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3"/>
    </row>
    <row r="4" spans="1:13" ht="26.25" customHeight="1" x14ac:dyDescent="0.25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6"/>
    </row>
    <row r="5" spans="1:13" s="24" customFormat="1" ht="22.5" customHeight="1" x14ac:dyDescent="0.25">
      <c r="A5" s="23" t="s">
        <v>0</v>
      </c>
      <c r="B5" s="23" t="s">
        <v>1</v>
      </c>
      <c r="C5" s="23" t="s">
        <v>5</v>
      </c>
      <c r="D5" s="23" t="s">
        <v>4</v>
      </c>
      <c r="E5" s="23" t="s">
        <v>2</v>
      </c>
      <c r="F5" s="23" t="s">
        <v>6</v>
      </c>
      <c r="G5" s="23" t="s">
        <v>7</v>
      </c>
      <c r="H5" s="23" t="s">
        <v>8</v>
      </c>
      <c r="I5" s="23" t="s">
        <v>9</v>
      </c>
      <c r="J5" s="23" t="s">
        <v>10</v>
      </c>
      <c r="K5" s="23" t="s">
        <v>3</v>
      </c>
      <c r="L5" s="23" t="s">
        <v>11</v>
      </c>
      <c r="M5" s="23" t="s">
        <v>12</v>
      </c>
    </row>
    <row r="6" spans="1:13" x14ac:dyDescent="0.25">
      <c r="A6" s="5" t="s">
        <v>13</v>
      </c>
      <c r="B6" s="6" t="s">
        <v>33</v>
      </c>
      <c r="C6" s="6" t="s">
        <v>34</v>
      </c>
      <c r="D6" s="6" t="s">
        <v>35</v>
      </c>
      <c r="E6" s="6" t="s">
        <v>36</v>
      </c>
      <c r="F6" s="7">
        <v>44576</v>
      </c>
      <c r="G6" s="8">
        <v>55000</v>
      </c>
      <c r="H6" s="9">
        <f>G6*20%</f>
        <v>11000</v>
      </c>
      <c r="I6" s="9">
        <f>G6*10%</f>
        <v>5500</v>
      </c>
      <c r="J6" s="9">
        <f>G6*15%</f>
        <v>8250</v>
      </c>
      <c r="K6" s="9">
        <f>G6*12%</f>
        <v>6600</v>
      </c>
      <c r="L6" s="9">
        <f>G6*10%</f>
        <v>5500</v>
      </c>
      <c r="M6" s="9">
        <f>G6-K6-L6</f>
        <v>42900</v>
      </c>
    </row>
    <row r="7" spans="1:13" x14ac:dyDescent="0.25">
      <c r="A7" s="5" t="s">
        <v>14</v>
      </c>
      <c r="B7" s="6" t="s">
        <v>37</v>
      </c>
      <c r="C7" s="6" t="s">
        <v>38</v>
      </c>
      <c r="D7" s="6" t="s">
        <v>39</v>
      </c>
      <c r="E7" s="6" t="s">
        <v>40</v>
      </c>
      <c r="F7" s="7">
        <v>44265</v>
      </c>
      <c r="G7" s="8">
        <v>40000</v>
      </c>
      <c r="H7" s="9">
        <f t="shared" ref="H7:H25" si="0">G7*20%</f>
        <v>8000</v>
      </c>
      <c r="I7" s="9">
        <f t="shared" ref="I7:I25" si="1">G7*10%</f>
        <v>4000</v>
      </c>
      <c r="J7" s="9">
        <f t="shared" ref="J7:J25" si="2">G7*15%</f>
        <v>6000</v>
      </c>
      <c r="K7" s="9">
        <f t="shared" ref="K7:K25" si="3">G7*12%</f>
        <v>4800</v>
      </c>
      <c r="L7" s="9">
        <f t="shared" ref="L7:L25" si="4">G7*10%</f>
        <v>4000</v>
      </c>
      <c r="M7" s="9">
        <f t="shared" ref="M7:M25" si="5">G7-K7-L7</f>
        <v>31200</v>
      </c>
    </row>
    <row r="8" spans="1:13" x14ac:dyDescent="0.25">
      <c r="A8" s="5" t="s">
        <v>15</v>
      </c>
      <c r="B8" s="6" t="s">
        <v>41</v>
      </c>
      <c r="C8" s="6" t="s">
        <v>42</v>
      </c>
      <c r="D8" s="6" t="s">
        <v>43</v>
      </c>
      <c r="E8" s="6" t="s">
        <v>44</v>
      </c>
      <c r="F8" s="7">
        <v>44034</v>
      </c>
      <c r="G8" s="8">
        <v>45000</v>
      </c>
      <c r="H8" s="9">
        <f t="shared" si="0"/>
        <v>9000</v>
      </c>
      <c r="I8" s="9">
        <f t="shared" si="1"/>
        <v>4500</v>
      </c>
      <c r="J8" s="9">
        <f t="shared" si="2"/>
        <v>6750</v>
      </c>
      <c r="K8" s="9">
        <f t="shared" si="3"/>
        <v>5400</v>
      </c>
      <c r="L8" s="9">
        <f t="shared" si="4"/>
        <v>4500</v>
      </c>
      <c r="M8" s="9">
        <f t="shared" si="5"/>
        <v>35100</v>
      </c>
    </row>
    <row r="9" spans="1:13" x14ac:dyDescent="0.25">
      <c r="A9" s="5" t="s">
        <v>16</v>
      </c>
      <c r="B9" s="6" t="s">
        <v>45</v>
      </c>
      <c r="C9" s="6" t="s">
        <v>46</v>
      </c>
      <c r="D9" s="6" t="s">
        <v>47</v>
      </c>
      <c r="E9" s="6" t="s">
        <v>48</v>
      </c>
      <c r="F9" s="7">
        <v>45082</v>
      </c>
      <c r="G9" s="8">
        <v>42000</v>
      </c>
      <c r="H9" s="9">
        <f t="shared" si="0"/>
        <v>8400</v>
      </c>
      <c r="I9" s="9">
        <f t="shared" si="1"/>
        <v>4200</v>
      </c>
      <c r="J9" s="9">
        <f t="shared" si="2"/>
        <v>6300</v>
      </c>
      <c r="K9" s="9">
        <f t="shared" si="3"/>
        <v>5040</v>
      </c>
      <c r="L9" s="9">
        <f t="shared" si="4"/>
        <v>4200</v>
      </c>
      <c r="M9" s="9">
        <f t="shared" si="5"/>
        <v>32760</v>
      </c>
    </row>
    <row r="10" spans="1:13" x14ac:dyDescent="0.25">
      <c r="A10" s="5" t="s">
        <v>17</v>
      </c>
      <c r="B10" s="6" t="s">
        <v>49</v>
      </c>
      <c r="C10" s="6" t="s">
        <v>34</v>
      </c>
      <c r="D10" s="6" t="s">
        <v>50</v>
      </c>
      <c r="E10" s="6" t="s">
        <v>51</v>
      </c>
      <c r="F10" s="7">
        <v>43787</v>
      </c>
      <c r="G10" s="8">
        <v>80000</v>
      </c>
      <c r="H10" s="9">
        <f t="shared" si="0"/>
        <v>16000</v>
      </c>
      <c r="I10" s="9">
        <f t="shared" si="1"/>
        <v>8000</v>
      </c>
      <c r="J10" s="9">
        <f t="shared" si="2"/>
        <v>12000</v>
      </c>
      <c r="K10" s="9">
        <f t="shared" si="3"/>
        <v>9600</v>
      </c>
      <c r="L10" s="9">
        <f t="shared" si="4"/>
        <v>8000</v>
      </c>
      <c r="M10" s="9">
        <f t="shared" si="5"/>
        <v>62400</v>
      </c>
    </row>
    <row r="11" spans="1:13" x14ac:dyDescent="0.25">
      <c r="A11" s="5" t="s">
        <v>18</v>
      </c>
      <c r="B11" s="6" t="s">
        <v>52</v>
      </c>
      <c r="C11" s="6" t="s">
        <v>53</v>
      </c>
      <c r="D11" s="6" t="s">
        <v>54</v>
      </c>
      <c r="E11" s="6" t="s">
        <v>55</v>
      </c>
      <c r="F11" s="7">
        <v>44604</v>
      </c>
      <c r="G11" s="8">
        <v>38000</v>
      </c>
      <c r="H11" s="9">
        <f t="shared" si="0"/>
        <v>7600</v>
      </c>
      <c r="I11" s="9">
        <f t="shared" si="1"/>
        <v>3800</v>
      </c>
      <c r="J11" s="9">
        <f t="shared" si="2"/>
        <v>5700</v>
      </c>
      <c r="K11" s="9">
        <f t="shared" si="3"/>
        <v>4560</v>
      </c>
      <c r="L11" s="9">
        <f t="shared" si="4"/>
        <v>3800</v>
      </c>
      <c r="M11" s="9">
        <f t="shared" si="5"/>
        <v>29640</v>
      </c>
    </row>
    <row r="12" spans="1:13" x14ac:dyDescent="0.25">
      <c r="A12" s="5" t="s">
        <v>19</v>
      </c>
      <c r="B12" s="6" t="s">
        <v>56</v>
      </c>
      <c r="C12" s="6" t="s">
        <v>57</v>
      </c>
      <c r="D12" s="6" t="s">
        <v>58</v>
      </c>
      <c r="E12" s="6" t="s">
        <v>59</v>
      </c>
      <c r="F12" s="7">
        <v>43313</v>
      </c>
      <c r="G12" s="8">
        <v>95000</v>
      </c>
      <c r="H12" s="9">
        <f t="shared" si="0"/>
        <v>19000</v>
      </c>
      <c r="I12" s="9">
        <f t="shared" si="1"/>
        <v>9500</v>
      </c>
      <c r="J12" s="9">
        <f t="shared" si="2"/>
        <v>14250</v>
      </c>
      <c r="K12" s="9">
        <f t="shared" si="3"/>
        <v>11400</v>
      </c>
      <c r="L12" s="9">
        <f t="shared" si="4"/>
        <v>9500</v>
      </c>
      <c r="M12" s="9">
        <f t="shared" si="5"/>
        <v>74100</v>
      </c>
    </row>
    <row r="13" spans="1:13" x14ac:dyDescent="0.25">
      <c r="A13" s="5" t="s">
        <v>20</v>
      </c>
      <c r="B13" s="6" t="s">
        <v>60</v>
      </c>
      <c r="C13" s="6" t="s">
        <v>42</v>
      </c>
      <c r="D13" s="6" t="s">
        <v>61</v>
      </c>
      <c r="E13" s="6" t="s">
        <v>36</v>
      </c>
      <c r="F13" s="7">
        <v>44464</v>
      </c>
      <c r="G13" s="8">
        <v>60000</v>
      </c>
      <c r="H13" s="9">
        <f t="shared" si="0"/>
        <v>12000</v>
      </c>
      <c r="I13" s="9">
        <f t="shared" si="1"/>
        <v>6000</v>
      </c>
      <c r="J13" s="9">
        <f t="shared" si="2"/>
        <v>9000</v>
      </c>
      <c r="K13" s="9">
        <f t="shared" si="3"/>
        <v>7200</v>
      </c>
      <c r="L13" s="9">
        <f t="shared" si="4"/>
        <v>6000</v>
      </c>
      <c r="M13" s="9">
        <f t="shared" si="5"/>
        <v>46800</v>
      </c>
    </row>
    <row r="14" spans="1:13" x14ac:dyDescent="0.25">
      <c r="A14" s="5" t="s">
        <v>21</v>
      </c>
      <c r="B14" s="6" t="s">
        <v>62</v>
      </c>
      <c r="C14" s="6" t="s">
        <v>34</v>
      </c>
      <c r="D14" s="6" t="s">
        <v>63</v>
      </c>
      <c r="E14" s="6" t="s">
        <v>64</v>
      </c>
      <c r="F14" s="7">
        <v>42839</v>
      </c>
      <c r="G14" s="8">
        <v>110000</v>
      </c>
      <c r="H14" s="9">
        <f t="shared" si="0"/>
        <v>22000</v>
      </c>
      <c r="I14" s="9">
        <f t="shared" si="1"/>
        <v>11000</v>
      </c>
      <c r="J14" s="9">
        <f t="shared" si="2"/>
        <v>16500</v>
      </c>
      <c r="K14" s="9">
        <f t="shared" si="3"/>
        <v>13200</v>
      </c>
      <c r="L14" s="9">
        <f t="shared" si="4"/>
        <v>11000</v>
      </c>
      <c r="M14" s="9">
        <f t="shared" si="5"/>
        <v>85800</v>
      </c>
    </row>
    <row r="15" spans="1:13" x14ac:dyDescent="0.25">
      <c r="A15" s="5" t="s">
        <v>22</v>
      </c>
      <c r="B15" s="6" t="s">
        <v>65</v>
      </c>
      <c r="C15" s="6" t="s">
        <v>38</v>
      </c>
      <c r="D15" s="6" t="s">
        <v>66</v>
      </c>
      <c r="E15" s="6" t="s">
        <v>44</v>
      </c>
      <c r="F15" s="7">
        <v>43807</v>
      </c>
      <c r="G15" s="8">
        <v>85000</v>
      </c>
      <c r="H15" s="9">
        <f t="shared" si="0"/>
        <v>17000</v>
      </c>
      <c r="I15" s="9">
        <f t="shared" si="1"/>
        <v>8500</v>
      </c>
      <c r="J15" s="9">
        <f t="shared" si="2"/>
        <v>12750</v>
      </c>
      <c r="K15" s="9">
        <f t="shared" si="3"/>
        <v>10200</v>
      </c>
      <c r="L15" s="9">
        <f t="shared" si="4"/>
        <v>8500</v>
      </c>
      <c r="M15" s="9">
        <f t="shared" si="5"/>
        <v>66300</v>
      </c>
    </row>
    <row r="16" spans="1:13" x14ac:dyDescent="0.25">
      <c r="A16" s="5" t="s">
        <v>23</v>
      </c>
      <c r="B16" s="6" t="s">
        <v>67</v>
      </c>
      <c r="C16" s="6" t="s">
        <v>53</v>
      </c>
      <c r="D16" s="6" t="s">
        <v>68</v>
      </c>
      <c r="E16" s="6" t="s">
        <v>40</v>
      </c>
      <c r="F16" s="7">
        <v>43240</v>
      </c>
      <c r="G16" s="8">
        <v>90000</v>
      </c>
      <c r="H16" s="9">
        <f t="shared" si="0"/>
        <v>18000</v>
      </c>
      <c r="I16" s="9">
        <f t="shared" si="1"/>
        <v>9000</v>
      </c>
      <c r="J16" s="9">
        <f t="shared" si="2"/>
        <v>13500</v>
      </c>
      <c r="K16" s="9">
        <f t="shared" si="3"/>
        <v>10800</v>
      </c>
      <c r="L16" s="9">
        <f t="shared" si="4"/>
        <v>9000</v>
      </c>
      <c r="M16" s="9">
        <f t="shared" si="5"/>
        <v>70200</v>
      </c>
    </row>
    <row r="17" spans="1:13" x14ac:dyDescent="0.25">
      <c r="A17" s="5" t="s">
        <v>24</v>
      </c>
      <c r="B17" s="6" t="s">
        <v>69</v>
      </c>
      <c r="C17" s="6" t="s">
        <v>46</v>
      </c>
      <c r="D17" s="6" t="s">
        <v>70</v>
      </c>
      <c r="E17" s="6" t="s">
        <v>55</v>
      </c>
      <c r="F17" s="7">
        <v>44578</v>
      </c>
      <c r="G17" s="8">
        <v>58000</v>
      </c>
      <c r="H17" s="9">
        <f t="shared" si="0"/>
        <v>11600</v>
      </c>
      <c r="I17" s="9">
        <f t="shared" si="1"/>
        <v>5800</v>
      </c>
      <c r="J17" s="9">
        <f t="shared" si="2"/>
        <v>8700</v>
      </c>
      <c r="K17" s="9">
        <f t="shared" si="3"/>
        <v>6960</v>
      </c>
      <c r="L17" s="9">
        <f t="shared" si="4"/>
        <v>5800</v>
      </c>
      <c r="M17" s="9">
        <f t="shared" si="5"/>
        <v>45240</v>
      </c>
    </row>
    <row r="18" spans="1:13" x14ac:dyDescent="0.25">
      <c r="A18" s="5" t="s">
        <v>25</v>
      </c>
      <c r="B18" s="6" t="s">
        <v>71</v>
      </c>
      <c r="C18" s="6" t="s">
        <v>34</v>
      </c>
      <c r="D18" s="6" t="s">
        <v>72</v>
      </c>
      <c r="E18" s="6" t="s">
        <v>48</v>
      </c>
      <c r="F18" s="7">
        <v>44115</v>
      </c>
      <c r="G18" s="8">
        <v>50000</v>
      </c>
      <c r="H18" s="9">
        <f t="shared" si="0"/>
        <v>10000</v>
      </c>
      <c r="I18" s="9">
        <f t="shared" si="1"/>
        <v>5000</v>
      </c>
      <c r="J18" s="9">
        <f t="shared" si="2"/>
        <v>7500</v>
      </c>
      <c r="K18" s="9">
        <f t="shared" si="3"/>
        <v>6000</v>
      </c>
      <c r="L18" s="9">
        <f t="shared" si="4"/>
        <v>5000</v>
      </c>
      <c r="M18" s="9">
        <f t="shared" si="5"/>
        <v>39000</v>
      </c>
    </row>
    <row r="19" spans="1:13" x14ac:dyDescent="0.25">
      <c r="A19" s="5" t="s">
        <v>26</v>
      </c>
      <c r="B19" s="6" t="s">
        <v>73</v>
      </c>
      <c r="C19" s="6" t="s">
        <v>42</v>
      </c>
      <c r="D19" s="6" t="s">
        <v>74</v>
      </c>
      <c r="E19" s="6" t="s">
        <v>36</v>
      </c>
      <c r="F19" s="7">
        <v>42797</v>
      </c>
      <c r="G19" s="8">
        <v>100000</v>
      </c>
      <c r="H19" s="9">
        <f t="shared" si="0"/>
        <v>20000</v>
      </c>
      <c r="I19" s="9">
        <f t="shared" si="1"/>
        <v>10000</v>
      </c>
      <c r="J19" s="9">
        <f t="shared" si="2"/>
        <v>15000</v>
      </c>
      <c r="K19" s="9">
        <f t="shared" si="3"/>
        <v>12000</v>
      </c>
      <c r="L19" s="9">
        <f t="shared" si="4"/>
        <v>10000</v>
      </c>
      <c r="M19" s="9">
        <f t="shared" si="5"/>
        <v>78000</v>
      </c>
    </row>
    <row r="20" spans="1:13" x14ac:dyDescent="0.25">
      <c r="A20" s="5" t="s">
        <v>27</v>
      </c>
      <c r="B20" s="6" t="s">
        <v>75</v>
      </c>
      <c r="C20" s="6" t="s">
        <v>57</v>
      </c>
      <c r="D20" s="6" t="s">
        <v>76</v>
      </c>
      <c r="E20" s="6" t="s">
        <v>51</v>
      </c>
      <c r="F20" s="7">
        <v>45135</v>
      </c>
      <c r="G20" s="8">
        <v>35000</v>
      </c>
      <c r="H20" s="9">
        <f t="shared" si="0"/>
        <v>7000</v>
      </c>
      <c r="I20" s="9">
        <f t="shared" si="1"/>
        <v>3500</v>
      </c>
      <c r="J20" s="9">
        <f t="shared" si="2"/>
        <v>5250</v>
      </c>
      <c r="K20" s="9">
        <f t="shared" si="3"/>
        <v>4200</v>
      </c>
      <c r="L20" s="9">
        <f t="shared" si="4"/>
        <v>3500</v>
      </c>
      <c r="M20" s="9">
        <f t="shared" si="5"/>
        <v>27300</v>
      </c>
    </row>
    <row r="21" spans="1:13" x14ac:dyDescent="0.25">
      <c r="A21" s="5" t="s">
        <v>28</v>
      </c>
      <c r="B21" s="6" t="s">
        <v>77</v>
      </c>
      <c r="C21" s="6" t="s">
        <v>34</v>
      </c>
      <c r="D21" s="6" t="s">
        <v>78</v>
      </c>
      <c r="E21" s="6" t="s">
        <v>59</v>
      </c>
      <c r="F21" s="7">
        <v>44356</v>
      </c>
      <c r="G21" s="8">
        <v>65000</v>
      </c>
      <c r="H21" s="9">
        <f t="shared" si="0"/>
        <v>13000</v>
      </c>
      <c r="I21" s="9">
        <f t="shared" si="1"/>
        <v>6500</v>
      </c>
      <c r="J21" s="9">
        <f t="shared" si="2"/>
        <v>9750</v>
      </c>
      <c r="K21" s="9">
        <f t="shared" si="3"/>
        <v>7800</v>
      </c>
      <c r="L21" s="9">
        <f t="shared" si="4"/>
        <v>6500</v>
      </c>
      <c r="M21" s="9">
        <f t="shared" si="5"/>
        <v>50700</v>
      </c>
    </row>
    <row r="22" spans="1:13" x14ac:dyDescent="0.25">
      <c r="A22" s="5" t="s">
        <v>29</v>
      </c>
      <c r="B22" s="6" t="s">
        <v>79</v>
      </c>
      <c r="C22" s="6" t="s">
        <v>53</v>
      </c>
      <c r="D22" s="6" t="s">
        <v>80</v>
      </c>
      <c r="E22" s="6" t="s">
        <v>44</v>
      </c>
      <c r="F22" s="7">
        <v>42415</v>
      </c>
      <c r="G22" s="8">
        <v>120000</v>
      </c>
      <c r="H22" s="9">
        <f t="shared" si="0"/>
        <v>24000</v>
      </c>
      <c r="I22" s="9">
        <f t="shared" si="1"/>
        <v>12000</v>
      </c>
      <c r="J22" s="9">
        <f t="shared" si="2"/>
        <v>18000</v>
      </c>
      <c r="K22" s="9">
        <f t="shared" si="3"/>
        <v>14400</v>
      </c>
      <c r="L22" s="9">
        <f t="shared" si="4"/>
        <v>12000</v>
      </c>
      <c r="M22" s="9">
        <f t="shared" si="5"/>
        <v>93600</v>
      </c>
    </row>
    <row r="23" spans="1:13" x14ac:dyDescent="0.25">
      <c r="A23" s="5" t="s">
        <v>30</v>
      </c>
      <c r="B23" s="6" t="s">
        <v>81</v>
      </c>
      <c r="C23" s="6" t="s">
        <v>38</v>
      </c>
      <c r="D23" s="6" t="s">
        <v>82</v>
      </c>
      <c r="E23" s="6" t="s">
        <v>83</v>
      </c>
      <c r="F23" s="7">
        <v>44657</v>
      </c>
      <c r="G23" s="8">
        <v>48000</v>
      </c>
      <c r="H23" s="9">
        <f t="shared" si="0"/>
        <v>9600</v>
      </c>
      <c r="I23" s="9">
        <f t="shared" si="1"/>
        <v>4800</v>
      </c>
      <c r="J23" s="9">
        <f t="shared" si="2"/>
        <v>7200</v>
      </c>
      <c r="K23" s="9">
        <f t="shared" si="3"/>
        <v>5760</v>
      </c>
      <c r="L23" s="9">
        <f t="shared" si="4"/>
        <v>4800</v>
      </c>
      <c r="M23" s="9">
        <f t="shared" si="5"/>
        <v>37440</v>
      </c>
    </row>
    <row r="24" spans="1:13" x14ac:dyDescent="0.25">
      <c r="A24" s="5" t="s">
        <v>31</v>
      </c>
      <c r="B24" s="6" t="s">
        <v>84</v>
      </c>
      <c r="C24" s="6" t="s">
        <v>34</v>
      </c>
      <c r="D24" s="6" t="s">
        <v>85</v>
      </c>
      <c r="E24" s="6" t="s">
        <v>86</v>
      </c>
      <c r="F24" s="7">
        <v>43362</v>
      </c>
      <c r="G24" s="8">
        <v>130000</v>
      </c>
      <c r="H24" s="9">
        <f t="shared" si="0"/>
        <v>26000</v>
      </c>
      <c r="I24" s="9">
        <f t="shared" si="1"/>
        <v>13000</v>
      </c>
      <c r="J24" s="9">
        <f t="shared" si="2"/>
        <v>19500</v>
      </c>
      <c r="K24" s="9">
        <f t="shared" si="3"/>
        <v>15600</v>
      </c>
      <c r="L24" s="9">
        <f t="shared" si="4"/>
        <v>13000</v>
      </c>
      <c r="M24" s="9">
        <f t="shared" si="5"/>
        <v>101400</v>
      </c>
    </row>
    <row r="25" spans="1:13" x14ac:dyDescent="0.25">
      <c r="A25" s="5" t="s">
        <v>32</v>
      </c>
      <c r="B25" s="6" t="s">
        <v>87</v>
      </c>
      <c r="C25" s="6" t="s">
        <v>46</v>
      </c>
      <c r="D25" s="6" t="s">
        <v>88</v>
      </c>
      <c r="E25" s="6" t="s">
        <v>40</v>
      </c>
      <c r="F25" s="7">
        <v>43793</v>
      </c>
      <c r="G25" s="8">
        <v>88000</v>
      </c>
      <c r="H25" s="9">
        <f t="shared" si="0"/>
        <v>17600</v>
      </c>
      <c r="I25" s="9">
        <f t="shared" si="1"/>
        <v>8800</v>
      </c>
      <c r="J25" s="9">
        <f t="shared" si="2"/>
        <v>13200</v>
      </c>
      <c r="K25" s="9">
        <f t="shared" si="3"/>
        <v>10560</v>
      </c>
      <c r="L25" s="9">
        <f t="shared" si="4"/>
        <v>8800</v>
      </c>
      <c r="M25" s="9">
        <f t="shared" si="5"/>
        <v>68640</v>
      </c>
    </row>
  </sheetData>
  <mergeCells count="2">
    <mergeCell ref="A3:M4"/>
    <mergeCell ref="A1:M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Details</vt:lpstr>
      <vt:lpstr>Employee Attence</vt:lpstr>
      <vt:lpstr>Employee Salary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Valmiki</dc:creator>
  <cp:lastModifiedBy>Sagar Valmiki</cp:lastModifiedBy>
  <dcterms:created xsi:type="dcterms:W3CDTF">2026-06-05T04:07:35Z</dcterms:created>
  <dcterms:modified xsi:type="dcterms:W3CDTF">2026-06-05T05:47:05Z</dcterms:modified>
</cp:coreProperties>
</file>